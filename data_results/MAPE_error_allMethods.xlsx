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error_MLPnOurs" sheetId="1" r:id="rId1"/>
    <sheet name="error_PTS" sheetId="2" r:id="rId2"/>
    <sheet name="error_REB" sheetId="3" r:id="rId3"/>
    <sheet name="error_A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" l="1"/>
  <c r="B20" i="1"/>
  <c r="B19" i="1"/>
  <c r="C20" i="4" l="1"/>
  <c r="D20" i="4"/>
  <c r="E20" i="4"/>
  <c r="B20" i="4"/>
  <c r="C20" i="3"/>
  <c r="D20" i="3"/>
  <c r="E20" i="3"/>
  <c r="B20" i="3"/>
  <c r="B20" i="2"/>
  <c r="C20" i="2"/>
  <c r="D20" i="2"/>
  <c r="E20" i="2"/>
  <c r="C20" i="1"/>
  <c r="D19" i="3" l="1"/>
  <c r="D19" i="4"/>
  <c r="E19" i="4"/>
  <c r="E19" i="3"/>
  <c r="D19" i="2"/>
  <c r="C19" i="1"/>
  <c r="C19" i="4" l="1"/>
  <c r="B19" i="4"/>
  <c r="C19" i="3"/>
  <c r="B19" i="3"/>
  <c r="C19" i="2"/>
  <c r="B19" i="2"/>
</calcChain>
</file>

<file path=xl/sharedStrings.xml><?xml version="1.0" encoding="utf-8"?>
<sst xmlns="http://schemas.openxmlformats.org/spreadsheetml/2006/main" count="90" uniqueCount="24">
  <si>
    <t>Shai Gileous-Alexander</t>
    <phoneticPr fontId="2" type="noConversion"/>
  </si>
  <si>
    <t>Dejounte Murray</t>
    <phoneticPr fontId="2" type="noConversion"/>
  </si>
  <si>
    <t>Trae Young</t>
    <phoneticPr fontId="2" type="noConversion"/>
  </si>
  <si>
    <t>Luka Doncic</t>
    <phoneticPr fontId="2" type="noConversion"/>
  </si>
  <si>
    <t>Fred VanVleet</t>
    <phoneticPr fontId="2" type="noConversion"/>
  </si>
  <si>
    <t>De'Aaron Fox</t>
    <phoneticPr fontId="2" type="noConversion"/>
  </si>
  <si>
    <t>Jalen Brunson</t>
    <phoneticPr fontId="2" type="noConversion"/>
  </si>
  <si>
    <t>Jaylen Brown</t>
    <phoneticPr fontId="2" type="noConversion"/>
  </si>
  <si>
    <t>Donovan Mitchell</t>
    <phoneticPr fontId="2" type="noConversion"/>
  </si>
  <si>
    <t>Jayson Tatum</t>
    <phoneticPr fontId="2" type="noConversion"/>
  </si>
  <si>
    <t>Brandon Ingram</t>
    <phoneticPr fontId="2" type="noConversion"/>
  </si>
  <si>
    <t>Pascal Siakam</t>
    <phoneticPr fontId="2" type="noConversion"/>
  </si>
  <si>
    <t>Lauri Markkanen</t>
    <phoneticPr fontId="2" type="noConversion"/>
  </si>
  <si>
    <t>Bam Adebayo</t>
    <phoneticPr fontId="2" type="noConversion"/>
  </si>
  <si>
    <t>Domantas Sabonis</t>
    <phoneticPr fontId="2" type="noConversion"/>
  </si>
  <si>
    <t>Jarrett Allen</t>
    <phoneticPr fontId="2" type="noConversion"/>
  </si>
  <si>
    <t>Jaren Jackson Jr.</t>
    <phoneticPr fontId="2" type="noConversion"/>
  </si>
  <si>
    <t>MLP</t>
    <phoneticPr fontId="2" type="noConversion"/>
  </si>
  <si>
    <t>Ours</t>
    <phoneticPr fontId="2" type="noConversion"/>
  </si>
  <si>
    <t>Linear</t>
    <phoneticPr fontId="2" type="noConversion"/>
  </si>
  <si>
    <t>SVM</t>
    <phoneticPr fontId="2" type="noConversion"/>
  </si>
  <si>
    <t>Ours</t>
    <phoneticPr fontId="2" type="noConversion"/>
  </si>
  <si>
    <t>standard</t>
    <phoneticPr fontId="2" type="noConversion"/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</si>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</sst>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rgb="FF1F1F1F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opLeftCell="A3" zoomScale="120" zoomScaleNormal="120" workbookViewId="0">
      <selection activeCell="A19" sqref="A19:A20"/>
    </sheetView>
  </sheetViews>
  <sheetFormatPr defaultRowHeight="15.75" x14ac:dyDescent="0.25"/>
  <cols>
    <col min="1" max="1" width="23.42578125" bestFit="1" customWidth="1"/>
  </cols>
  <sheetData>
    <row r="1" spans="1:3" x14ac:dyDescent="0.25">
      <c r="B1" s="3" t="s">
        <v>17</v>
      </c>
      <c r="C1" s="3" t="s">
        <v>18</v>
      </c>
    </row>
    <row r="2" spans="1:3" x14ac:dyDescent="0.25">
      <c r="A2" s="1" t="s">
        <v>0</v>
      </c>
      <c r="B2" s="5">
        <v>0.14729999999999999</v>
      </c>
      <c r="C2" s="6">
        <v>0.24079999999999999</v>
      </c>
    </row>
    <row r="3" spans="1:3" x14ac:dyDescent="0.25">
      <c r="A3" s="2" t="s">
        <v>1</v>
      </c>
      <c r="B3" s="5">
        <v>0.10979999999999999</v>
      </c>
      <c r="C3" s="6">
        <v>0.1089</v>
      </c>
    </row>
    <row r="4" spans="1:3" x14ac:dyDescent="0.25">
      <c r="A4" s="2" t="s">
        <v>2</v>
      </c>
      <c r="B4" s="5">
        <v>3.1300000000000001E-2</v>
      </c>
      <c r="C4" s="6">
        <v>7.1599999999999997E-2</v>
      </c>
    </row>
    <row r="5" spans="1:3" x14ac:dyDescent="0.25">
      <c r="A5" s="2" t="s">
        <v>3</v>
      </c>
      <c r="B5" s="5">
        <v>6.1100000000000002E-2</v>
      </c>
      <c r="C5" s="6">
        <v>0.1018</v>
      </c>
    </row>
    <row r="6" spans="1:3" x14ac:dyDescent="0.25">
      <c r="A6" s="1" t="s">
        <v>4</v>
      </c>
      <c r="B6" s="5">
        <v>7.1900000000000006E-2</v>
      </c>
      <c r="C6" s="6">
        <v>0.1003</v>
      </c>
    </row>
    <row r="7" spans="1:3" x14ac:dyDescent="0.25">
      <c r="A7" s="1" t="s">
        <v>5</v>
      </c>
      <c r="B7" s="5">
        <v>8.2100000000000006E-2</v>
      </c>
      <c r="C7" s="6">
        <v>6.2399999999999997E-2</v>
      </c>
    </row>
    <row r="8" spans="1:3" x14ac:dyDescent="0.25">
      <c r="A8" s="1" t="s">
        <v>6</v>
      </c>
      <c r="B8" s="5">
        <v>6.5799999999999997E-2</v>
      </c>
      <c r="C8" s="6">
        <v>0.1071</v>
      </c>
    </row>
    <row r="9" spans="1:3" x14ac:dyDescent="0.25">
      <c r="A9" s="1" t="s">
        <v>7</v>
      </c>
      <c r="B9" s="5">
        <v>0.12520000000000001</v>
      </c>
      <c r="C9" s="6">
        <v>7.3999999999999996E-2</v>
      </c>
    </row>
    <row r="10" spans="1:3" x14ac:dyDescent="0.25">
      <c r="A10" s="1" t="s">
        <v>8</v>
      </c>
      <c r="B10" s="5">
        <v>8.1900000000000001E-2</v>
      </c>
      <c r="C10" s="6">
        <v>4.7199999999999999E-2</v>
      </c>
    </row>
    <row r="11" spans="1:3" x14ac:dyDescent="0.25">
      <c r="A11" s="1" t="s">
        <v>9</v>
      </c>
      <c r="B11" s="5">
        <v>7.9200000000000007E-2</v>
      </c>
      <c r="C11" s="6">
        <v>9.0200000000000002E-2</v>
      </c>
    </row>
    <row r="12" spans="1:3" x14ac:dyDescent="0.25">
      <c r="A12" s="1" t="s">
        <v>10</v>
      </c>
      <c r="B12" s="5">
        <v>0.12139999999999999</v>
      </c>
      <c r="C12" s="6">
        <v>0.1229</v>
      </c>
    </row>
    <row r="13" spans="1:3" x14ac:dyDescent="0.25">
      <c r="A13" s="1" t="s">
        <v>11</v>
      </c>
      <c r="B13" s="5">
        <v>0.21340000000000001</v>
      </c>
      <c r="C13" s="6">
        <v>9.4899999999999998E-2</v>
      </c>
    </row>
    <row r="14" spans="1:3" x14ac:dyDescent="0.25">
      <c r="A14" s="1" t="s">
        <v>12</v>
      </c>
      <c r="B14" s="5">
        <v>0.253</v>
      </c>
      <c r="C14" s="6">
        <v>0.1183</v>
      </c>
    </row>
    <row r="15" spans="1:3" x14ac:dyDescent="0.25">
      <c r="A15" s="1" t="s">
        <v>13</v>
      </c>
      <c r="B15" s="5">
        <v>0.1057</v>
      </c>
      <c r="C15" s="6">
        <v>0.1037</v>
      </c>
    </row>
    <row r="16" spans="1:3" x14ac:dyDescent="0.25">
      <c r="A16" s="1" t="s">
        <v>14</v>
      </c>
      <c r="B16" s="5">
        <v>0.23139999999999999</v>
      </c>
      <c r="C16" s="6">
        <v>0.10580000000000001</v>
      </c>
    </row>
    <row r="17" spans="1:3" x14ac:dyDescent="0.25">
      <c r="A17" s="1" t="s">
        <v>15</v>
      </c>
      <c r="B17" s="5">
        <v>0.1845</v>
      </c>
      <c r="C17" s="6">
        <v>0.24030000000000001</v>
      </c>
    </row>
    <row r="18" spans="1:3" x14ac:dyDescent="0.25">
      <c r="A18" s="1" t="s">
        <v>16</v>
      </c>
      <c r="B18" s="5">
        <v>8.4400000000000003E-2</v>
      </c>
      <c r="C18" s="6">
        <v>0.3236</v>
      </c>
    </row>
    <row r="19" spans="1:3" x14ac:dyDescent="0.25">
      <c r="A19" s="4" t="s">
        <v>23</v>
      </c>
      <c r="B19">
        <f>AVERAGE(B2:B18)</f>
        <v>0.12055294117647058</v>
      </c>
      <c r="C19">
        <f>AVERAGE(C2:C18)</f>
        <v>0.12434117647058823</v>
      </c>
    </row>
    <row r="20" spans="1:3" x14ac:dyDescent="0.25">
      <c r="A20" s="4" t="s">
        <v>22</v>
      </c>
      <c r="B20">
        <f>_xlfn.STDEV.P(B2:B18)</f>
        <v>6.2529316584510608E-2</v>
      </c>
      <c r="C20">
        <f>_xlfn.STDEV.P(C2:C18)</f>
        <v>7.1240727436451268E-2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19" sqref="A19:A20"/>
    </sheetView>
  </sheetViews>
  <sheetFormatPr defaultRowHeight="15.75" x14ac:dyDescent="0.25"/>
  <cols>
    <col min="1" max="1" width="23.42578125" bestFit="1" customWidth="1"/>
    <col min="3" max="3" width="9.5703125" bestFit="1" customWidth="1"/>
    <col min="4" max="4" width="9.140625" style="8"/>
  </cols>
  <sheetData>
    <row r="1" spans="1:5" x14ac:dyDescent="0.25">
      <c r="B1" s="3" t="s">
        <v>19</v>
      </c>
      <c r="C1" s="3" t="s">
        <v>20</v>
      </c>
      <c r="D1" s="7" t="s">
        <v>17</v>
      </c>
      <c r="E1" s="3" t="s">
        <v>21</v>
      </c>
    </row>
    <row r="2" spans="1:5" x14ac:dyDescent="0.25">
      <c r="A2" s="1" t="s">
        <v>0</v>
      </c>
      <c r="B2" s="3">
        <v>10.5456</v>
      </c>
      <c r="C2" s="3">
        <v>8.8025000000000002</v>
      </c>
      <c r="D2" s="5">
        <v>18.429383999999999</v>
      </c>
      <c r="E2" s="3">
        <v>27</v>
      </c>
    </row>
    <row r="3" spans="1:5" x14ac:dyDescent="0.25">
      <c r="A3" s="2" t="s">
        <v>1</v>
      </c>
      <c r="B3" s="3">
        <v>4.2154999999999996</v>
      </c>
      <c r="C3" s="3">
        <v>2.2890999999999999</v>
      </c>
      <c r="D3" s="5">
        <v>10.374622</v>
      </c>
      <c r="E3" s="3">
        <v>9.4</v>
      </c>
    </row>
    <row r="4" spans="1:5" x14ac:dyDescent="0.25">
      <c r="A4" s="2" t="s">
        <v>2</v>
      </c>
      <c r="B4" s="3">
        <v>13.4208</v>
      </c>
      <c r="C4" s="3">
        <v>7.4657</v>
      </c>
      <c r="D4" s="5">
        <v>3.3170160000000002</v>
      </c>
      <c r="E4" s="3">
        <v>1.8</v>
      </c>
    </row>
    <row r="5" spans="1:5" x14ac:dyDescent="0.25">
      <c r="A5" s="2" t="s">
        <v>3</v>
      </c>
      <c r="B5" s="3">
        <v>6.0675999999999997</v>
      </c>
      <c r="C5" s="3">
        <v>8.1132000000000009</v>
      </c>
      <c r="D5" s="5">
        <v>1.8161389999999999</v>
      </c>
      <c r="E5" s="3">
        <v>7</v>
      </c>
    </row>
    <row r="6" spans="1:5" x14ac:dyDescent="0.25">
      <c r="A6" s="1" t="s">
        <v>4</v>
      </c>
      <c r="B6" s="3">
        <v>10.640599999999999</v>
      </c>
      <c r="C6" s="3">
        <v>11.840999999999999</v>
      </c>
      <c r="D6" s="5">
        <v>3.1057480000000002</v>
      </c>
      <c r="E6" s="3">
        <v>7</v>
      </c>
    </row>
    <row r="7" spans="1:5" x14ac:dyDescent="0.25">
      <c r="A7" s="1" t="s">
        <v>5</v>
      </c>
      <c r="B7" s="3">
        <v>0.22620000000000001</v>
      </c>
      <c r="C7" s="3">
        <v>1.0654999999999999</v>
      </c>
      <c r="D7" s="5">
        <v>8.3967829999999992</v>
      </c>
      <c r="E7" s="3">
        <v>7</v>
      </c>
    </row>
    <row r="8" spans="1:5" x14ac:dyDescent="0.25">
      <c r="A8" s="1" t="s">
        <v>6</v>
      </c>
      <c r="B8" s="3">
        <v>1.4888999999999999</v>
      </c>
      <c r="C8" s="3">
        <v>8.1224000000000007</v>
      </c>
      <c r="D8" s="5">
        <v>1.0628930000000001</v>
      </c>
      <c r="E8" s="3">
        <v>1.8</v>
      </c>
    </row>
    <row r="9" spans="1:5" x14ac:dyDescent="0.25">
      <c r="A9" s="1" t="s">
        <v>7</v>
      </c>
      <c r="B9" s="3">
        <v>18.042200000000001</v>
      </c>
      <c r="C9" s="3">
        <v>23.2682</v>
      </c>
      <c r="D9" s="5">
        <v>14.689463</v>
      </c>
      <c r="E9" s="3">
        <v>5.3</v>
      </c>
    </row>
    <row r="10" spans="1:5" x14ac:dyDescent="0.25">
      <c r="A10" s="1" t="s">
        <v>8</v>
      </c>
      <c r="B10" s="3">
        <v>4.7256</v>
      </c>
      <c r="C10" s="3">
        <v>7.2249999999999996</v>
      </c>
      <c r="D10" s="5">
        <v>0.61196700000000004</v>
      </c>
      <c r="E10" s="3">
        <v>4.5999999999999996</v>
      </c>
    </row>
    <row r="11" spans="1:5" x14ac:dyDescent="0.25">
      <c r="A11" s="1" t="s">
        <v>9</v>
      </c>
      <c r="B11" s="3">
        <v>3.2948</v>
      </c>
      <c r="C11" s="3">
        <v>5.7786999999999997</v>
      </c>
      <c r="D11" s="5">
        <v>7.3142120000000004</v>
      </c>
      <c r="E11" s="3">
        <v>11.1</v>
      </c>
    </row>
    <row r="12" spans="1:5" x14ac:dyDescent="0.25">
      <c r="A12" s="1" t="s">
        <v>10</v>
      </c>
      <c r="B12" s="3">
        <v>5.2553000000000001</v>
      </c>
      <c r="C12" s="3">
        <v>10.950200000000001</v>
      </c>
      <c r="D12" s="7">
        <v>14.250400000000001</v>
      </c>
      <c r="E12" s="3">
        <v>17.100000000000001</v>
      </c>
    </row>
    <row r="13" spans="1:5" x14ac:dyDescent="0.25">
      <c r="A13" s="1" t="s">
        <v>11</v>
      </c>
      <c r="B13" s="3">
        <v>7.1669999999999998</v>
      </c>
      <c r="C13" s="3">
        <v>10.3348</v>
      </c>
      <c r="D13" s="5">
        <v>21.703182999999999</v>
      </c>
      <c r="E13" s="3">
        <v>5.3</v>
      </c>
    </row>
    <row r="14" spans="1:5" x14ac:dyDescent="0.25">
      <c r="A14" s="1" t="s">
        <v>12</v>
      </c>
      <c r="B14" s="3">
        <v>3.4540000000000002</v>
      </c>
      <c r="C14" s="3">
        <v>3.4302999999999999</v>
      </c>
      <c r="D14" s="5">
        <v>24.881066000000001</v>
      </c>
      <c r="E14" s="3">
        <v>0</v>
      </c>
    </row>
    <row r="15" spans="1:5" x14ac:dyDescent="0.25">
      <c r="A15" s="1" t="s">
        <v>13</v>
      </c>
      <c r="B15" s="3">
        <v>7.5830000000000002</v>
      </c>
      <c r="C15" s="3">
        <v>11.639900000000001</v>
      </c>
      <c r="D15" s="7">
        <v>11.1935</v>
      </c>
      <c r="E15" s="3">
        <v>15.8</v>
      </c>
    </row>
    <row r="16" spans="1:5" x14ac:dyDescent="0.25">
      <c r="A16" s="1" t="s">
        <v>14</v>
      </c>
      <c r="B16" s="3">
        <v>17.575500000000002</v>
      </c>
      <c r="C16" s="3">
        <v>11.335900000000001</v>
      </c>
      <c r="D16" s="5">
        <v>28.54243</v>
      </c>
      <c r="E16" s="3">
        <v>11.6</v>
      </c>
    </row>
    <row r="17" spans="1:5" x14ac:dyDescent="0.25">
      <c r="A17" s="1" t="s">
        <v>15</v>
      </c>
      <c r="B17" s="3">
        <v>12.307600000000001</v>
      </c>
      <c r="C17" s="3">
        <v>8.4467999999999996</v>
      </c>
      <c r="D17" s="5">
        <v>7.7137659999999997</v>
      </c>
      <c r="E17" s="3">
        <v>6.7</v>
      </c>
    </row>
    <row r="18" spans="1:5" x14ac:dyDescent="0.25">
      <c r="A18" s="1" t="s">
        <v>16</v>
      </c>
      <c r="B18" s="3">
        <v>10.446</v>
      </c>
      <c r="C18" s="3">
        <v>11.6013</v>
      </c>
      <c r="D18" s="5">
        <v>7.6765030000000003</v>
      </c>
      <c r="E18" s="3">
        <v>7.6</v>
      </c>
    </row>
    <row r="19" spans="1:5" x14ac:dyDescent="0.25">
      <c r="A19" s="4" t="s">
        <v>23</v>
      </c>
      <c r="B19" s="3">
        <f>AVERAGE(B2:B18)</f>
        <v>8.026835294117646</v>
      </c>
      <c r="C19" s="3">
        <f>AVERAGE(C2:C18)</f>
        <v>8.9241470588235288</v>
      </c>
      <c r="D19" s="7">
        <f t="shared" ref="D19" si="0">AVERAGE(D2:D18)</f>
        <v>10.887004411764705</v>
      </c>
      <c r="E19" s="3">
        <f>AVERAGE(E2:E18)</f>
        <v>8.5941176470588214</v>
      </c>
    </row>
    <row r="20" spans="1:5" x14ac:dyDescent="0.25">
      <c r="A20" s="4" t="s">
        <v>22</v>
      </c>
      <c r="B20">
        <f>_xlfn.STDEV.P(B2:B18)</f>
        <v>5.1031182341481669</v>
      </c>
      <c r="C20">
        <f t="shared" ref="C20:E20" si="1">_xlfn.STDEV.P(C2:C18)</f>
        <v>4.8088727325419471</v>
      </c>
      <c r="D20" s="8">
        <f t="shared" si="1"/>
        <v>8.2216295140051887</v>
      </c>
      <c r="E20">
        <f t="shared" si="1"/>
        <v>6.3941582335418454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19" sqref="A19:A20"/>
    </sheetView>
  </sheetViews>
  <sheetFormatPr defaultRowHeight="15.75" x14ac:dyDescent="0.25"/>
  <cols>
    <col min="1" max="1" width="23.42578125" bestFit="1" customWidth="1"/>
    <col min="4" max="4" width="9.140625" style="8"/>
  </cols>
  <sheetData>
    <row r="1" spans="1:5" x14ac:dyDescent="0.25">
      <c r="B1" s="3" t="s">
        <v>19</v>
      </c>
      <c r="C1" s="3" t="s">
        <v>20</v>
      </c>
      <c r="D1" s="7" t="s">
        <v>17</v>
      </c>
      <c r="E1" s="3" t="s">
        <v>21</v>
      </c>
    </row>
    <row r="2" spans="1:5" x14ac:dyDescent="0.25">
      <c r="A2" s="1" t="s">
        <v>0</v>
      </c>
      <c r="B2" s="3">
        <v>10.737399999999999</v>
      </c>
      <c r="C2" s="3">
        <v>0.89049999999999996</v>
      </c>
      <c r="D2" s="5">
        <v>23.230029999999999</v>
      </c>
      <c r="E2" s="3">
        <v>16.899999999999999</v>
      </c>
    </row>
    <row r="3" spans="1:5" x14ac:dyDescent="0.25">
      <c r="A3" s="2" t="s">
        <v>1</v>
      </c>
      <c r="B3" s="3">
        <v>24.013100000000001</v>
      </c>
      <c r="C3" s="3">
        <v>18.5688</v>
      </c>
      <c r="D3" s="5">
        <v>2.0797729999999999</v>
      </c>
      <c r="E3" s="3">
        <v>16.899999999999999</v>
      </c>
    </row>
    <row r="4" spans="1:5" x14ac:dyDescent="0.25">
      <c r="A4" s="2" t="s">
        <v>2</v>
      </c>
      <c r="B4" s="3">
        <v>40.076500000000003</v>
      </c>
      <c r="C4" s="3">
        <v>30.209800000000001</v>
      </c>
      <c r="D4" s="5">
        <v>1.4386060000000001</v>
      </c>
      <c r="E4" s="3">
        <v>24.2</v>
      </c>
    </row>
    <row r="5" spans="1:5" x14ac:dyDescent="0.25">
      <c r="A5" s="2" t="s">
        <v>3</v>
      </c>
      <c r="B5" s="3">
        <v>13.6976</v>
      </c>
      <c r="C5" s="3">
        <v>14.8857</v>
      </c>
      <c r="D5" s="5">
        <v>27.577099</v>
      </c>
      <c r="E5" s="3">
        <v>31.4</v>
      </c>
    </row>
    <row r="6" spans="1:5" x14ac:dyDescent="0.25">
      <c r="A6" s="1" t="s">
        <v>4</v>
      </c>
      <c r="B6" s="3">
        <v>19.282699999999998</v>
      </c>
      <c r="C6" s="3">
        <v>23.759899999999998</v>
      </c>
      <c r="D6" s="5">
        <v>9.7158709999999999</v>
      </c>
      <c r="E6" s="3">
        <v>5</v>
      </c>
    </row>
    <row r="7" spans="1:5" x14ac:dyDescent="0.25">
      <c r="A7" s="1" t="s">
        <v>5</v>
      </c>
      <c r="B7" s="3">
        <v>12.4124</v>
      </c>
      <c r="C7" s="3">
        <v>3.5377000000000001</v>
      </c>
      <c r="D7" s="5">
        <v>41.991866999999999</v>
      </c>
      <c r="E7" s="3">
        <v>2.4</v>
      </c>
    </row>
    <row r="8" spans="1:5" x14ac:dyDescent="0.25">
      <c r="A8" s="1" t="s">
        <v>6</v>
      </c>
      <c r="B8" s="3">
        <v>16.6462</v>
      </c>
      <c r="C8" s="3">
        <v>17.236699999999999</v>
      </c>
      <c r="D8" s="5">
        <v>17.225114000000001</v>
      </c>
      <c r="E8" s="3">
        <v>0</v>
      </c>
    </row>
    <row r="9" spans="1:5" x14ac:dyDescent="0.25">
      <c r="A9" s="1" t="s">
        <v>7</v>
      </c>
      <c r="B9" s="3">
        <v>1.6009</v>
      </c>
      <c r="C9" s="3">
        <v>6.8103999999999996</v>
      </c>
      <c r="D9" s="5">
        <v>4.6214089999999999</v>
      </c>
      <c r="E9" s="3">
        <v>23</v>
      </c>
    </row>
    <row r="10" spans="1:5" x14ac:dyDescent="0.25">
      <c r="A10" s="1" t="s">
        <v>8</v>
      </c>
      <c r="B10" s="3">
        <v>0.3906</v>
      </c>
      <c r="C10" s="3">
        <v>1.2059</v>
      </c>
      <c r="D10" s="5">
        <v>4.4942529999999996</v>
      </c>
      <c r="E10" s="3">
        <v>4.3</v>
      </c>
    </row>
    <row r="11" spans="1:5" x14ac:dyDescent="0.25">
      <c r="A11" s="1" t="s">
        <v>9</v>
      </c>
      <c r="B11" s="3">
        <v>2.4116</v>
      </c>
      <c r="C11" s="3">
        <v>4.1319999999999997</v>
      </c>
      <c r="D11" s="5">
        <v>8.1420809999999992</v>
      </c>
      <c r="E11" s="3">
        <v>15</v>
      </c>
    </row>
    <row r="12" spans="1:5" x14ac:dyDescent="0.25">
      <c r="A12" s="1" t="s">
        <v>10</v>
      </c>
      <c r="B12" s="3">
        <v>5.2119999999999997</v>
      </c>
      <c r="C12" s="3">
        <v>2.2372999999999998</v>
      </c>
      <c r="D12" s="5">
        <v>15.675397</v>
      </c>
      <c r="E12" s="3">
        <v>5.0999999999999996</v>
      </c>
    </row>
    <row r="13" spans="1:5" x14ac:dyDescent="0.25">
      <c r="A13" s="1" t="s">
        <v>11</v>
      </c>
      <c r="B13" s="3">
        <v>4.7141999999999999</v>
      </c>
      <c r="C13" s="3">
        <v>2.1313</v>
      </c>
      <c r="D13" s="5">
        <v>23.631715</v>
      </c>
      <c r="E13" s="3">
        <v>25.6</v>
      </c>
    </row>
    <row r="14" spans="1:5" x14ac:dyDescent="0.25">
      <c r="A14" s="1" t="s">
        <v>12</v>
      </c>
      <c r="B14" s="3">
        <v>8.3056999999999999</v>
      </c>
      <c r="C14" s="3">
        <v>22.802</v>
      </c>
      <c r="D14" s="5">
        <v>11.758364</v>
      </c>
      <c r="E14" s="3">
        <v>16.600000000000001</v>
      </c>
    </row>
    <row r="15" spans="1:5" x14ac:dyDescent="0.25">
      <c r="A15" s="1" t="s">
        <v>13</v>
      </c>
      <c r="B15" s="3">
        <v>14.2994</v>
      </c>
      <c r="C15" s="3">
        <v>10.3027</v>
      </c>
      <c r="D15" s="5">
        <v>0.32244</v>
      </c>
      <c r="E15" s="3">
        <v>1.9</v>
      </c>
    </row>
    <row r="16" spans="1:5" x14ac:dyDescent="0.25">
      <c r="A16" s="1" t="s">
        <v>14</v>
      </c>
      <c r="B16" s="3">
        <v>1.4131</v>
      </c>
      <c r="C16" s="3">
        <v>6.4164000000000003</v>
      </c>
      <c r="D16" s="5">
        <v>8.0266640000000002</v>
      </c>
      <c r="E16" s="3">
        <v>3.2</v>
      </c>
    </row>
    <row r="17" spans="1:5" x14ac:dyDescent="0.25">
      <c r="A17" s="1" t="s">
        <v>15</v>
      </c>
      <c r="B17" s="3">
        <v>7.7835000000000001</v>
      </c>
      <c r="C17" s="3">
        <v>7.6729000000000003</v>
      </c>
      <c r="D17" s="5">
        <v>4.5156460000000003</v>
      </c>
      <c r="E17" s="3">
        <v>5.0999999999999996</v>
      </c>
    </row>
    <row r="18" spans="1:5" x14ac:dyDescent="0.25">
      <c r="A18" s="1" t="s">
        <v>16</v>
      </c>
      <c r="B18" s="3">
        <v>0.87939999999999996</v>
      </c>
      <c r="C18" s="3">
        <v>10.392200000000001</v>
      </c>
      <c r="D18" s="5">
        <v>33.026812999999997</v>
      </c>
      <c r="E18" s="3">
        <v>74.3</v>
      </c>
    </row>
    <row r="19" spans="1:5" x14ac:dyDescent="0.25">
      <c r="A19" s="4" t="s">
        <v>23</v>
      </c>
      <c r="B19">
        <f>AVERAGE(B2:B18)</f>
        <v>10.816252941176471</v>
      </c>
      <c r="C19">
        <f>AVERAGE(C2:C18)</f>
        <v>10.776011764705883</v>
      </c>
      <c r="D19" s="8">
        <f>AVERAGE(D2:D18)</f>
        <v>13.969008352941177</v>
      </c>
      <c r="E19">
        <f t="shared" ref="E19" si="0">AVERAGE(E2:E18)</f>
        <v>15.935294117647057</v>
      </c>
    </row>
    <row r="20" spans="1:5" x14ac:dyDescent="0.25">
      <c r="A20" s="4" t="s">
        <v>22</v>
      </c>
      <c r="B20">
        <f>_xlfn.STDEV.P(B2:B18)</f>
        <v>9.9839131654593523</v>
      </c>
      <c r="C20">
        <f t="shared" ref="C20:E20" si="1">_xlfn.STDEV.P(C2:C18)</f>
        <v>8.7058312150286632</v>
      </c>
      <c r="D20" s="8">
        <f t="shared" si="1"/>
        <v>11.806424270429481</v>
      </c>
      <c r="E20">
        <f t="shared" si="1"/>
        <v>17.399254249619627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F17" sqref="F17"/>
    </sheetView>
  </sheetViews>
  <sheetFormatPr defaultRowHeight="15.75" x14ac:dyDescent="0.25"/>
  <cols>
    <col min="1" max="1" width="23.42578125" bestFit="1" customWidth="1"/>
    <col min="4" max="4" width="9.140625" style="8"/>
  </cols>
  <sheetData>
    <row r="1" spans="1:5" x14ac:dyDescent="0.25">
      <c r="B1" s="3" t="s">
        <v>19</v>
      </c>
      <c r="C1" s="3" t="s">
        <v>20</v>
      </c>
      <c r="D1" s="7" t="s">
        <v>17</v>
      </c>
      <c r="E1" s="3" t="s">
        <v>21</v>
      </c>
    </row>
    <row r="2" spans="1:5" x14ac:dyDescent="0.25">
      <c r="A2" s="1" t="s">
        <v>0</v>
      </c>
      <c r="B2" s="3">
        <v>7.9527999999999999</v>
      </c>
      <c r="C2" s="3">
        <v>10.1259</v>
      </c>
      <c r="D2" s="5">
        <v>0.128637</v>
      </c>
      <c r="E2" s="3">
        <v>1.6</v>
      </c>
    </row>
    <row r="3" spans="1:5" x14ac:dyDescent="0.25">
      <c r="A3" s="2" t="s">
        <v>1</v>
      </c>
      <c r="B3" s="3">
        <v>6.1536999999999997</v>
      </c>
      <c r="C3" s="3">
        <v>11.6167</v>
      </c>
      <c r="D3" s="5">
        <v>3.470377</v>
      </c>
      <c r="E3" s="3">
        <v>5.5</v>
      </c>
    </row>
    <row r="4" spans="1:5" x14ac:dyDescent="0.25">
      <c r="A4" s="2" t="s">
        <v>2</v>
      </c>
      <c r="B4" s="3">
        <v>4.0685000000000002</v>
      </c>
      <c r="C4" s="3">
        <v>7.1315999999999997</v>
      </c>
      <c r="D4" s="5">
        <v>6.6061290000000001</v>
      </c>
      <c r="E4" s="3">
        <v>24</v>
      </c>
    </row>
    <row r="5" spans="1:5" x14ac:dyDescent="0.25">
      <c r="A5" s="2" t="s">
        <v>3</v>
      </c>
      <c r="B5" s="3">
        <v>11.6081</v>
      </c>
      <c r="C5" s="3">
        <v>1.0953999999999999</v>
      </c>
      <c r="D5" s="5">
        <v>2.531288</v>
      </c>
      <c r="E5" s="3">
        <v>12.5</v>
      </c>
    </row>
    <row r="6" spans="1:5" x14ac:dyDescent="0.25">
      <c r="A6" s="1" t="s">
        <v>4</v>
      </c>
      <c r="B6" s="3">
        <v>22.192699999999999</v>
      </c>
      <c r="C6" s="3">
        <v>16.692</v>
      </c>
      <c r="D6" s="5">
        <v>0.37491999999999998</v>
      </c>
      <c r="E6" s="3">
        <v>7.8</v>
      </c>
    </row>
    <row r="7" spans="1:5" x14ac:dyDescent="0.25">
      <c r="A7" s="1" t="s">
        <v>5</v>
      </c>
      <c r="B7" s="3">
        <v>12.3825</v>
      </c>
      <c r="C7" s="3">
        <v>14.600199999999999</v>
      </c>
      <c r="D7" s="5">
        <v>26.788951000000001</v>
      </c>
      <c r="E7" s="3">
        <v>4.5</v>
      </c>
    </row>
    <row r="8" spans="1:5" x14ac:dyDescent="0.25">
      <c r="A8" s="1" t="s">
        <v>6</v>
      </c>
      <c r="B8" s="3">
        <v>1.1157999999999999</v>
      </c>
      <c r="C8" s="3">
        <v>2.7633000000000001</v>
      </c>
      <c r="D8" s="5">
        <v>2.9338150000000001</v>
      </c>
      <c r="E8" s="3">
        <v>3.3</v>
      </c>
    </row>
    <row r="9" spans="1:5" x14ac:dyDescent="0.25">
      <c r="A9" s="1" t="s">
        <v>7</v>
      </c>
      <c r="B9" s="3">
        <v>2.4822000000000002</v>
      </c>
      <c r="C9" s="3">
        <v>9.8096999999999994</v>
      </c>
      <c r="D9" s="5">
        <v>19.869083</v>
      </c>
      <c r="E9" s="3">
        <v>6.2</v>
      </c>
    </row>
    <row r="10" spans="1:5" x14ac:dyDescent="0.25">
      <c r="A10" s="1" t="s">
        <v>8</v>
      </c>
      <c r="B10" s="3">
        <v>14.0395</v>
      </c>
      <c r="C10" s="3">
        <v>15.7326</v>
      </c>
      <c r="D10" s="5">
        <v>15.146165</v>
      </c>
      <c r="E10" s="3">
        <v>17.5</v>
      </c>
    </row>
    <row r="11" spans="1:5" x14ac:dyDescent="0.25">
      <c r="A11" s="1" t="s">
        <v>9</v>
      </c>
      <c r="B11" s="3">
        <v>8.7210000000000001</v>
      </c>
      <c r="C11" s="3">
        <v>1.5619000000000001</v>
      </c>
      <c r="D11" s="5">
        <v>12.361158</v>
      </c>
      <c r="E11" s="3">
        <v>22.7</v>
      </c>
    </row>
    <row r="12" spans="1:5" x14ac:dyDescent="0.25">
      <c r="A12" s="1" t="s">
        <v>10</v>
      </c>
      <c r="B12" s="3">
        <v>19.308900000000001</v>
      </c>
      <c r="C12" s="3">
        <v>20.8155</v>
      </c>
      <c r="D12" s="5">
        <v>4.9067769999999999</v>
      </c>
      <c r="E12" s="3">
        <v>29.1</v>
      </c>
    </row>
    <row r="13" spans="1:5" x14ac:dyDescent="0.25">
      <c r="A13" s="1" t="s">
        <v>11</v>
      </c>
      <c r="B13" s="3">
        <v>9.8264999999999993</v>
      </c>
      <c r="C13" s="3">
        <v>11.983700000000001</v>
      </c>
      <c r="D13" s="5">
        <v>2.8958789999999999</v>
      </c>
      <c r="E13" s="3">
        <v>5</v>
      </c>
    </row>
    <row r="14" spans="1:5" x14ac:dyDescent="0.25">
      <c r="A14" s="1" t="s">
        <v>12</v>
      </c>
      <c r="B14" s="3">
        <v>54.160499999999999</v>
      </c>
      <c r="C14" s="3">
        <v>11.461399999999999</v>
      </c>
      <c r="D14" s="5">
        <v>45.517488999999998</v>
      </c>
      <c r="E14" s="3">
        <v>49.9</v>
      </c>
    </row>
    <row r="15" spans="1:5" x14ac:dyDescent="0.25">
      <c r="A15" s="1" t="s">
        <v>13</v>
      </c>
      <c r="B15" s="3">
        <v>36.569200000000002</v>
      </c>
      <c r="C15" s="3">
        <v>39.646599999999999</v>
      </c>
      <c r="D15" s="5">
        <v>2.5975980000000001</v>
      </c>
      <c r="E15" s="3">
        <v>4.5999999999999996</v>
      </c>
    </row>
    <row r="16" spans="1:5" x14ac:dyDescent="0.25">
      <c r="A16" s="1" t="s">
        <v>14</v>
      </c>
      <c r="B16" s="3">
        <v>21.4161</v>
      </c>
      <c r="C16" s="3">
        <v>18.447700000000001</v>
      </c>
      <c r="D16" s="5">
        <v>2.244694</v>
      </c>
      <c r="E16" s="3">
        <v>13.7</v>
      </c>
    </row>
    <row r="17" spans="1:5" x14ac:dyDescent="0.25">
      <c r="A17" s="1" t="s">
        <v>15</v>
      </c>
      <c r="B17" s="3">
        <v>63.434699999999999</v>
      </c>
      <c r="C17" s="3">
        <v>55.276699999999998</v>
      </c>
      <c r="D17" s="5">
        <v>24.93722</v>
      </c>
      <c r="E17" s="3">
        <v>36.799999999999997</v>
      </c>
    </row>
    <row r="18" spans="1:5" x14ac:dyDescent="0.25">
      <c r="A18" s="1" t="s">
        <v>16</v>
      </c>
      <c r="B18" s="3">
        <v>30.131900000000002</v>
      </c>
      <c r="C18" s="3">
        <v>0.75539999999999996</v>
      </c>
      <c r="D18" s="5">
        <v>56.418819999999997</v>
      </c>
      <c r="E18" s="3">
        <v>88.8</v>
      </c>
    </row>
    <row r="19" spans="1:5" x14ac:dyDescent="0.25">
      <c r="A19" s="4" t="s">
        <v>23</v>
      </c>
      <c r="B19">
        <f>AVERAGE(B2:B18)</f>
        <v>19.150858823529415</v>
      </c>
      <c r="C19">
        <f>AVERAGE(C2:C18)</f>
        <v>14.677429411764708</v>
      </c>
      <c r="D19" s="8">
        <f>AVERAGE(D2:D18)</f>
        <v>13.513470588235293</v>
      </c>
      <c r="E19">
        <f t="shared" ref="E19" si="0">AVERAGE(E2:E18)</f>
        <v>19.617647058823529</v>
      </c>
    </row>
    <row r="20" spans="1:5" x14ac:dyDescent="0.25">
      <c r="A20" s="4" t="s">
        <v>22</v>
      </c>
      <c r="B20">
        <f>_xlfn.STDEV.P(B2:B18)</f>
        <v>17.277301966965684</v>
      </c>
      <c r="C20">
        <f t="shared" ref="C20:E20" si="1">_xlfn.STDEV.P(C2:C18)</f>
        <v>13.61099210472981</v>
      </c>
      <c r="D20" s="8">
        <f t="shared" si="1"/>
        <v>16.055220534269349</v>
      </c>
      <c r="E20">
        <f t="shared" si="1"/>
        <v>21.672542544565939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error_MLPnOurs</vt:lpstr>
      <vt:lpstr>error_PTS</vt:lpstr>
      <vt:lpstr>error_REB</vt:lpstr>
      <vt:lpstr>error_AST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2026-05-16T12:53:47Z</dcterms:modified>
</cp:coreProperties>
</file>